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SUS\Desktop\Financial\"/>
    </mc:Choice>
  </mc:AlternateContent>
  <xr:revisionPtr revIDLastSave="0" documentId="13_ncr:1_{BC78BC95-9F40-4962-A13E-F160A5C7A05B}" xr6:coauthVersionLast="47" xr6:coauthVersionMax="47" xr10:uidLastSave="{00000000-0000-0000-0000-000000000000}"/>
  <bookViews>
    <workbookView xWindow="3720" yWindow="2250" windowWidth="21600" windowHeight="11835" tabRatio="500" xr2:uid="{00000000-000D-0000-FFFF-FFFF00000000}"/>
  </bookViews>
  <sheets>
    <sheet name="FCF &amp; WACC" sheetId="1" r:id="rId1"/>
    <sheet name="Verification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5" i="2" l="1"/>
  <c r="B34" i="2"/>
  <c r="B33" i="2"/>
  <c r="B32" i="2"/>
  <c r="B31" i="2"/>
  <c r="B30" i="2"/>
  <c r="B29" i="2"/>
  <c r="B28" i="2"/>
  <c r="B25" i="2"/>
  <c r="B24" i="2"/>
  <c r="B23" i="2"/>
  <c r="B20" i="2"/>
  <c r="B19" i="2"/>
  <c r="B18" i="2"/>
  <c r="B17" i="2"/>
  <c r="B16" i="2"/>
  <c r="B15" i="2"/>
  <c r="C12" i="2"/>
  <c r="B12" i="2"/>
  <c r="C11" i="2"/>
  <c r="B11" i="2"/>
  <c r="C10" i="2"/>
  <c r="B10" i="2"/>
  <c r="C9" i="2"/>
  <c r="B9" i="2"/>
  <c r="B6" i="2"/>
  <c r="B5" i="2"/>
  <c r="B4" i="2"/>
  <c r="B3" i="2"/>
  <c r="G27" i="1"/>
  <c r="C24" i="1"/>
  <c r="C26" i="1" s="1"/>
  <c r="B18" i="1"/>
  <c r="F27" i="1" s="1"/>
  <c r="E8" i="1"/>
  <c r="E9" i="1" s="1"/>
  <c r="D8" i="1"/>
  <c r="D9" i="1" s="1"/>
  <c r="C8" i="1"/>
  <c r="C9" i="1" s="1"/>
  <c r="B8" i="1"/>
  <c r="B9" i="1" s="1"/>
  <c r="F6" i="1"/>
  <c r="F5" i="1"/>
  <c r="F8" i="1" l="1"/>
  <c r="D27" i="1"/>
  <c r="E27" i="1"/>
  <c r="D24" i="1"/>
  <c r="D26" i="1" l="1"/>
  <c r="D28" i="1" s="1"/>
  <c r="E24" i="1"/>
  <c r="F24" i="1" l="1"/>
  <c r="E26" i="1"/>
  <c r="E28" i="1" s="1"/>
  <c r="F26" i="1" l="1"/>
  <c r="F28" i="1" s="1"/>
  <c r="G24" i="1"/>
  <c r="G26" i="1" s="1"/>
  <c r="G28" i="1" l="1"/>
  <c r="B33" i="1"/>
  <c r="B34" i="1" s="1"/>
  <c r="B35" i="1" s="1"/>
  <c r="B36" i="1"/>
  <c r="B37" i="1" l="1"/>
  <c r="B39" i="1" s="1"/>
  <c r="B41" i="1" s="1"/>
  <c r="B43" i="1" s="1"/>
</calcChain>
</file>

<file path=xl/sharedStrings.xml><?xml version="1.0" encoding="utf-8"?>
<sst xmlns="http://schemas.openxmlformats.org/spreadsheetml/2006/main" count="134" uniqueCount="119">
  <si>
    <t>SHOPIFY INC. (SHOP) — FCF ANALYSIS &amp; WACC VALUATION</t>
  </si>
  <si>
    <t>FREE CASH FLOW ANALYSIS</t>
  </si>
  <si>
    <t>Item</t>
  </si>
  <si>
    <t>FY2022</t>
  </si>
  <si>
    <t>FY2023</t>
  </si>
  <si>
    <t>FY2024</t>
  </si>
  <si>
    <t>FY2025</t>
  </si>
  <si>
    <t>YoY Growth</t>
  </si>
  <si>
    <t>Notes</t>
  </si>
  <si>
    <t>Revenue ($M)</t>
  </si>
  <si>
    <t>Source: Yahoo Finance / Shopify 10-K</t>
  </si>
  <si>
    <t>Cash Flow from Operations</t>
  </si>
  <si>
    <t>Source: Yahoo Finance Cash Flow Statement</t>
  </si>
  <si>
    <t>Capital Expenditures ($M)</t>
  </si>
  <si>
    <t>Purchases of property &amp; equipment (negative = cash out)</t>
  </si>
  <si>
    <t>Free Cash Flow ($M)</t>
  </si>
  <si>
    <t>FCF = Cash Flow from Operations + Capital Expenditures*</t>
  </si>
  <si>
    <t>FCF Margin (%)</t>
  </si>
  <si>
    <t>FCF Margin = FCF / Revenue</t>
  </si>
  <si>
    <t>WACC CALCULATION</t>
  </si>
  <si>
    <t>Cost of Equity (Re)</t>
  </si>
  <si>
    <t>From CAPM: adjusted for long-term valuation (Beta ~1.0)</t>
  </si>
  <si>
    <t>Cost of Debt (Rd)</t>
  </si>
  <si>
    <t>Interest rate on Shopify convertible notes</t>
  </si>
  <si>
    <t>Tax Rate</t>
  </si>
  <si>
    <t>Tax Provision / Pretax Income = $278M / $1,509M</t>
  </si>
  <si>
    <t>Weight of Equity (E/V)</t>
  </si>
  <si>
    <t>Equity / (Equity + Debt) = $149,876M / $150,064M</t>
  </si>
  <si>
    <t>Weight of Debt (D/V)</t>
  </si>
  <si>
    <t>Debt / (Equity + Debt) = $188M / $150,064M</t>
  </si>
  <si>
    <t>WACC</t>
  </si>
  <si>
    <t>E/V x Re + D/V x Rd x (1 minus Tax Rate)</t>
  </si>
  <si>
    <t>DCF VALUATION — 5 YEAR PROJECTION</t>
  </si>
  <si>
    <t>FY2025A</t>
  </si>
  <si>
    <t>FY2026E</t>
  </si>
  <si>
    <t>FY2027E</t>
  </si>
  <si>
    <t>FY2028E</t>
  </si>
  <si>
    <t>FY2029E</t>
  </si>
  <si>
    <t>FY2030E</t>
  </si>
  <si>
    <t>FCF Growth Rate (%)</t>
  </si>
  <si>
    <t>Conservative declining growth rates</t>
  </si>
  <si>
    <t>Revenue = Prior Year x (1 + Growth Rate)</t>
  </si>
  <si>
    <t>FCF Margin assumptions — improving as scale grows</t>
  </si>
  <si>
    <t>FCF = Revenue x FCF Margin</t>
  </si>
  <si>
    <t>Discount Factor</t>
  </si>
  <si>
    <t>Conservative declining growth rate assumptions</t>
  </si>
  <si>
    <t>PV of FCF ($M)</t>
  </si>
  <si>
    <t>Discount factor formula for each year</t>
  </si>
  <si>
    <t>PV of FCF = FCF x Discount Factor</t>
  </si>
  <si>
    <t>TERMINAL VALUE &amp; INTRINSIC VALUE</t>
  </si>
  <si>
    <t>Terminal Growth Rate (g)</t>
  </si>
  <si>
    <t>Long-term GDP growth assumption (conservative)</t>
  </si>
  <si>
    <t>Terminal FCF ($M)</t>
  </si>
  <si>
    <t>FY2030 projected Free Cash Flow</t>
  </si>
  <si>
    <t>Terminal Value ($M)</t>
  </si>
  <si>
    <t>Terminal Value discounted back 5 years at WACC</t>
  </si>
  <si>
    <t>PV of Terminal Value ($M)</t>
  </si>
  <si>
    <t>Sum of PV of FCFs ($M)</t>
  </si>
  <si>
    <t>Sum of discounted FCFs from FY2026E to FY2030E</t>
  </si>
  <si>
    <t>Total Firm Value ($M)</t>
  </si>
  <si>
    <t>PV of Terminal Value plus Sum of PV FCFs</t>
  </si>
  <si>
    <t>Less: Total Debt ($M)</t>
  </si>
  <si>
    <t>From Shopify Balance Sheet FY2025 (Yahoo Finance)</t>
  </si>
  <si>
    <t>Equity Value ($M)</t>
  </si>
  <si>
    <t>Total Firm Value minus Total Debt</t>
  </si>
  <si>
    <t>Shares Outstanding (M)</t>
  </si>
  <si>
    <t>Source: Yahoo Finance Key Statistics FY2025</t>
  </si>
  <si>
    <t>Intrinsic Value Per Share ($)</t>
  </si>
  <si>
    <t>Equity Value divided by Shares Outstanding</t>
  </si>
  <si>
    <t>Current Market Price ($)</t>
  </si>
  <si>
    <t>Verify current price on Yahoo Finance</t>
  </si>
  <si>
    <t>Upside / (Downside)</t>
  </si>
  <si>
    <t>Intrinsic Value divided by Market Price minus 1</t>
  </si>
  <si>
    <t>INTERPRETATION &amp; PROFESSOR NOTES</t>
  </si>
  <si>
    <t>WACC = 11.9%: Blended cost of capital using adjusted Cost of Equity (12%) and minimal Cost of Debt (3%). Shopify is 98.6% equity-financed due to ultra-low debt (D/E = 0.01x).
Intrinsic Value vs Market Price: Our DCF yields ~$51.71/share vs market price of $114.84. This gap reflects the market pricing in sustained 30%+ growth well beyond our 5-year model, AI commerce leadership (UCP with Google), and B2B expansion (GMV up 96% in FY2025).
Why Use 12% Cost of Equity (not 23%): CAPM gave Re=23% using Beta=2.32 (short-term volatility). For long-term DCF, analysts use adjusted Beta closer to 1.0, giving Re~12%. This is standard professional practice (Damodaran methodology).
FCF Turnaround: From -$374M (2022) to +$2,007M (2025) — a $2.4B improvement in 3 years. This funded the $2B share buyback program announced February 2026.</t>
  </si>
  <si>
    <t>VERIFICATION — All Calculations Shown Step by Step</t>
  </si>
  <si>
    <t>FCF CALCULATIONS</t>
  </si>
  <si>
    <t>FY2022 FCF</t>
  </si>
  <si>
    <t>CFO + CapEx (both negative) = -374</t>
  </si>
  <si>
    <t>FY2023 FCF</t>
  </si>
  <si>
    <t>CFO + CapEx = 905</t>
  </si>
  <si>
    <t>FY2024 FCF</t>
  </si>
  <si>
    <t>CFO + CapEx = 1,597</t>
  </si>
  <si>
    <t>FY2025 FCF</t>
  </si>
  <si>
    <t>CFO + CapEx = 2,007</t>
  </si>
  <si>
    <t>FCF MARGINS</t>
  </si>
  <si>
    <t>FY2022 FCF Margin</t>
  </si>
  <si>
    <t>FY2023 FCF Margin</t>
  </si>
  <si>
    <t>FY2024 FCF Margin</t>
  </si>
  <si>
    <t>FY2025 FCF Margin</t>
  </si>
  <si>
    <t>Adjusted CAPM (long-term Beta ~1.0)</t>
  </si>
  <si>
    <t>Interest on convertible notes</t>
  </si>
  <si>
    <t>278/1509 = 18.4%</t>
  </si>
  <si>
    <t>149,876 / (149,876+188)</t>
  </si>
  <si>
    <t>188 / (149,876+188)</t>
  </si>
  <si>
    <t>TERMINAL VALUE</t>
  </si>
  <si>
    <t>Terminal FCF (FY2030)</t>
  </si>
  <si>
    <t>FY2030 projected FCF</t>
  </si>
  <si>
    <t>Terminal Value</t>
  </si>
  <si>
    <t>FCF x (1+g) divided by (WACC-g) = $90,562M</t>
  </si>
  <si>
    <t>PV of Terminal Value</t>
  </si>
  <si>
    <t>Discounted back 5 years = $51,695M</t>
  </si>
  <si>
    <t>INTRINSIC VALUE</t>
  </si>
  <si>
    <t>Sum PV of FCFs</t>
  </si>
  <si>
    <t>Sum of PV FCFs = $15,920M</t>
  </si>
  <si>
    <t>Total Firm Value</t>
  </si>
  <si>
    <t>Total Firm Value = $67,615M</t>
  </si>
  <si>
    <t>Less Debt</t>
  </si>
  <si>
    <t>Total debt from balance sheet</t>
  </si>
  <si>
    <t>Equity Value</t>
  </si>
  <si>
    <t>Equity Value = $67,427M</t>
  </si>
  <si>
    <t>Shares Outstanding</t>
  </si>
  <si>
    <t>Million shares (Yahoo Finance)</t>
  </si>
  <si>
    <t>Intrinsic Value Per Share</t>
  </si>
  <si>
    <t>Intrinsic Value per share = $51.71</t>
  </si>
  <si>
    <t>Current Market Price</t>
  </si>
  <si>
    <t>As of April 2026</t>
  </si>
  <si>
    <t>Upside/(Downside)</t>
  </si>
  <si>
    <t>Premium reflects market pricing future growth beyond 5-year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</si>
</sst>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;\-"/>
    <numFmt numFmtId="165" formatCode="0.0%"/>
    <numFmt numFmtId="166" formatCode="0.0000"/>
    <numFmt numFmtId="167" formatCode="\$#,##0.00"/>
  </numFmts>
  <fonts count="15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1A1A1A"/>
      <name val="Arial"/>
      <charset val="1"/>
    </font>
    <font>
      <sz val="10"/>
      <color rgb="FF0000FF"/>
      <name val="Arial"/>
      <charset val="1"/>
    </font>
    <font>
      <i/>
      <sz val="9"/>
      <color rgb="FF555555"/>
      <name val="Arial"/>
      <charset val="1"/>
    </font>
    <font>
      <b/>
      <sz val="10"/>
      <color rgb="FF1A1A1A"/>
      <name val="Arial"/>
      <charset val="1"/>
    </font>
    <font>
      <b/>
      <sz val="10"/>
      <color rgb="FF2E75B6"/>
      <name val="Arial"/>
      <charset val="1"/>
    </font>
    <font>
      <b/>
      <sz val="10"/>
      <color rgb="FF0000FF"/>
      <name val="Arial"/>
      <charset val="1"/>
    </font>
    <font>
      <b/>
      <sz val="12"/>
      <color rgb="FF1E8449"/>
      <name val="Arial"/>
      <charset val="1"/>
    </font>
    <font>
      <b/>
      <sz val="13"/>
      <color rgb="FF1E8449"/>
      <name val="Arial"/>
      <charset val="1"/>
    </font>
    <font>
      <b/>
      <sz val="13"/>
      <color rgb="FFFFFFFF"/>
      <name val="Arial"/>
      <charset val="1"/>
    </font>
    <font>
      <sz val="10"/>
      <color rgb="FFFFFFFF"/>
      <name val="Arial"/>
      <charset val="1"/>
    </font>
    <font>
      <i/>
      <sz val="9"/>
      <color rgb="FFFFFFFF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BF3FB"/>
      </patternFill>
    </fill>
    <fill>
      <patternFill patternType="solid">
        <fgColor rgb="FFFFFFFF"/>
        <bgColor rgb="FFF2F2F2"/>
      </patternFill>
    </fill>
    <fill>
      <patternFill patternType="solid">
        <fgColor rgb="FFEBF3FB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2F2F2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2" fillId="2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top" wrapText="1"/>
    </xf>
    <xf numFmtId="0" fontId="6" fillId="8" borderId="0" xfId="0" applyFont="1" applyFill="1" applyAlignment="1">
      <alignment horizontal="left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0" fontId="6" fillId="0" borderId="2" xfId="0" applyFont="1" applyBorder="1" applyAlignment="1">
      <alignment horizontal="left" wrapText="1"/>
    </xf>
    <xf numFmtId="0" fontId="6" fillId="0" borderId="2" xfId="0" applyFont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164" fontId="5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0" fillId="4" borderId="1" xfId="0" applyFill="1" applyBorder="1"/>
    <xf numFmtId="0" fontId="6" fillId="0" borderId="0" xfId="0" applyFont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164" fontId="5" fillId="5" borderId="1" xfId="0" applyNumberFormat="1" applyFont="1" applyFill="1" applyBorder="1" applyAlignment="1">
      <alignment horizontal="right" vertical="center"/>
    </xf>
    <xf numFmtId="165" fontId="4" fillId="5" borderId="1" xfId="0" applyNumberFormat="1" applyFont="1" applyFill="1" applyBorder="1" applyAlignment="1">
      <alignment horizontal="right" vertical="center"/>
    </xf>
    <xf numFmtId="0" fontId="0" fillId="5" borderId="1" xfId="0" applyFill="1" applyBorder="1"/>
    <xf numFmtId="0" fontId="7" fillId="5" borderId="1" xfId="0" applyFont="1" applyFill="1" applyBorder="1" applyAlignment="1">
      <alignment horizontal="left" vertical="center" wrapText="1"/>
    </xf>
    <xf numFmtId="164" fontId="8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 wrapText="1"/>
    </xf>
    <xf numFmtId="165" fontId="9" fillId="7" borderId="1" xfId="0" applyNumberFormat="1" applyFont="1" applyFill="1" applyBorder="1" applyAlignment="1">
      <alignment horizontal="right" vertical="center"/>
    </xf>
    <xf numFmtId="165" fontId="10" fillId="8" borderId="1" xfId="0" applyNumberFormat="1" applyFon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9" fontId="9" fillId="7" borderId="1" xfId="0" applyNumberFormat="1" applyFont="1" applyFill="1" applyBorder="1" applyAlignment="1">
      <alignment horizontal="right" vertical="center"/>
    </xf>
    <xf numFmtId="3" fontId="9" fillId="7" borderId="1" xfId="0" applyNumberFormat="1" applyFont="1" applyFill="1" applyBorder="1" applyAlignment="1">
      <alignment horizontal="right" vertical="center"/>
    </xf>
    <xf numFmtId="3" fontId="4" fillId="5" borderId="1" xfId="0" applyNumberFormat="1" applyFont="1" applyFill="1" applyBorder="1" applyAlignment="1">
      <alignment horizontal="right" vertical="center"/>
    </xf>
    <xf numFmtId="3" fontId="8" fillId="5" borderId="1" xfId="0" applyNumberFormat="1" applyFont="1" applyFill="1" applyBorder="1" applyAlignment="1">
      <alignment horizontal="right" vertical="center"/>
    </xf>
    <xf numFmtId="166" fontId="6" fillId="4" borderId="1" xfId="0" applyNumberFormat="1" applyFont="1" applyFill="1" applyBorder="1" applyAlignment="1">
      <alignment horizontal="left" wrapText="1"/>
    </xf>
    <xf numFmtId="166" fontId="4" fillId="4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wrapText="1"/>
    </xf>
    <xf numFmtId="0" fontId="0" fillId="5" borderId="1" xfId="0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left" wrapText="1"/>
    </xf>
    <xf numFmtId="0" fontId="4" fillId="6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167" fontId="11" fillId="8" borderId="1" xfId="0" applyNumberFormat="1" applyFont="1" applyFill="1" applyBorder="1" applyAlignment="1">
      <alignment horizontal="right" vertical="center"/>
    </xf>
    <xf numFmtId="167" fontId="9" fillId="7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right" vertical="center"/>
    </xf>
    <xf numFmtId="0" fontId="14" fillId="3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left" vertical="center" wrapText="1"/>
    </xf>
    <xf numFmtId="10" fontId="6" fillId="5" borderId="1" xfId="0" applyNumberFormat="1" applyFont="1" applyFill="1" applyBorder="1" applyAlignment="1">
      <alignment horizontal="left" vertical="center" wrapText="1"/>
    </xf>
    <xf numFmtId="10" fontId="6" fillId="4" borderId="1" xfId="0" applyNumberFormat="1" applyFont="1" applyFill="1" applyBorder="1" applyAlignment="1">
      <alignment horizontal="left" vertical="center" wrapText="1"/>
    </xf>
    <xf numFmtId="10" fontId="5" fillId="5" borderId="1" xfId="0" applyNumberFormat="1" applyFont="1" applyFill="1" applyBorder="1" applyAlignment="1">
      <alignment horizontal="right" vertical="center"/>
    </xf>
    <xf numFmtId="10" fontId="5" fillId="4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1E8449"/>
      <rgbColor rgb="FF003300"/>
      <rgbColor rgb="FF333300"/>
      <rgbColor rgb="FF993300"/>
      <rgbColor rgb="FF993366"/>
      <rgbColor rgb="FF1F4E7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topLeftCell="A22" zoomScaleNormal="100" workbookViewId="0">
      <selection activeCell="H10" sqref="H10"/>
    </sheetView>
  </sheetViews>
  <sheetFormatPr defaultColWidth="8.7109375" defaultRowHeight="15" x14ac:dyDescent="0.25"/>
  <cols>
    <col min="1" max="1" width="32" customWidth="1"/>
    <col min="2" max="7" width="14" customWidth="1"/>
    <col min="8" max="8" width="35" customWidth="1"/>
  </cols>
  <sheetData>
    <row r="1" spans="1:8" ht="25.5" customHeight="1" x14ac:dyDescent="0.25">
      <c r="A1" s="10" t="s">
        <v>0</v>
      </c>
      <c r="B1" s="10"/>
      <c r="C1" s="10"/>
      <c r="D1" s="10"/>
      <c r="E1" s="10"/>
      <c r="F1" s="10"/>
      <c r="G1" s="10"/>
      <c r="H1" s="10"/>
    </row>
    <row r="3" spans="1:8" ht="19.5" customHeight="1" x14ac:dyDescent="0.25">
      <c r="A3" s="9" t="s">
        <v>1</v>
      </c>
      <c r="B3" s="9"/>
      <c r="C3" s="9"/>
      <c r="D3" s="9"/>
      <c r="E3" s="9"/>
      <c r="F3" s="9"/>
      <c r="G3" s="9"/>
      <c r="H3" s="9"/>
    </row>
    <row r="4" spans="1:8" ht="15" customHeight="1" x14ac:dyDescent="0.25">
      <c r="A4" s="11" t="s">
        <v>2</v>
      </c>
      <c r="B4" s="12" t="s">
        <v>3</v>
      </c>
      <c r="C4" s="12" t="s">
        <v>4</v>
      </c>
      <c r="D4" s="12" t="s">
        <v>5</v>
      </c>
      <c r="E4" s="12" t="s">
        <v>6</v>
      </c>
      <c r="F4" s="12" t="s">
        <v>7</v>
      </c>
      <c r="G4" s="12"/>
      <c r="H4" s="12" t="s">
        <v>8</v>
      </c>
    </row>
    <row r="5" spans="1:8" ht="15" customHeight="1" x14ac:dyDescent="0.25">
      <c r="A5" s="13" t="s">
        <v>9</v>
      </c>
      <c r="B5" s="14">
        <v>5600</v>
      </c>
      <c r="C5" s="14">
        <v>7060</v>
      </c>
      <c r="D5" s="14">
        <v>8880</v>
      </c>
      <c r="E5" s="14">
        <v>11556</v>
      </c>
      <c r="F5" s="15">
        <f>E5/D5-1</f>
        <v>0.30135135135135127</v>
      </c>
      <c r="G5" s="16"/>
      <c r="H5" s="17" t="s">
        <v>10</v>
      </c>
    </row>
    <row r="6" spans="1:8" ht="15" customHeight="1" x14ac:dyDescent="0.25">
      <c r="A6" s="18" t="s">
        <v>11</v>
      </c>
      <c r="B6" s="19">
        <v>-276</v>
      </c>
      <c r="C6" s="19">
        <v>944</v>
      </c>
      <c r="D6" s="19">
        <v>1616</v>
      </c>
      <c r="E6" s="19">
        <v>2033</v>
      </c>
      <c r="F6" s="20">
        <f>E6/D6-1</f>
        <v>0.2580445544554455</v>
      </c>
      <c r="G6" s="21"/>
      <c r="H6" s="17" t="s">
        <v>12</v>
      </c>
    </row>
    <row r="7" spans="1:8" ht="21.75" customHeight="1" x14ac:dyDescent="0.25">
      <c r="A7" s="13" t="s">
        <v>13</v>
      </c>
      <c r="B7" s="14">
        <v>-98</v>
      </c>
      <c r="C7" s="14">
        <v>-39</v>
      </c>
      <c r="D7" s="14">
        <v>-19</v>
      </c>
      <c r="E7" s="14">
        <v>-26</v>
      </c>
      <c r="F7" s="16"/>
      <c r="G7" s="16"/>
      <c r="H7" s="17" t="s">
        <v>14</v>
      </c>
    </row>
    <row r="8" spans="1:8" ht="21.75" customHeight="1" x14ac:dyDescent="0.25">
      <c r="A8" s="22" t="s">
        <v>15</v>
      </c>
      <c r="B8" s="23">
        <f>B6+B7</f>
        <v>-374</v>
      </c>
      <c r="C8" s="23">
        <f>C6+C7</f>
        <v>905</v>
      </c>
      <c r="D8" s="23">
        <f>D6+D7</f>
        <v>1597</v>
      </c>
      <c r="E8" s="23">
        <f>E6+E7</f>
        <v>2007</v>
      </c>
      <c r="F8" s="20">
        <f>E8/D8-1</f>
        <v>0.25673137132122736</v>
      </c>
      <c r="G8" s="21"/>
      <c r="H8" s="17" t="s">
        <v>16</v>
      </c>
    </row>
    <row r="9" spans="1:8" ht="15" customHeight="1" x14ac:dyDescent="0.25">
      <c r="A9" s="13" t="s">
        <v>17</v>
      </c>
      <c r="B9" s="15">
        <f>IFERROR(B8/B5,"N/A")</f>
        <v>-6.6785714285714282E-2</v>
      </c>
      <c r="C9" s="15">
        <f>IFERROR(C8/C5,"N/A")</f>
        <v>0.1281869688385269</v>
      </c>
      <c r="D9" s="15">
        <f>IFERROR(D8/D5,"N/A")</f>
        <v>0.17984234234234234</v>
      </c>
      <c r="E9" s="15">
        <f>IFERROR(E8/E5,"N/A")</f>
        <v>0.17367601246105918</v>
      </c>
      <c r="F9" s="16"/>
      <c r="G9" s="16"/>
      <c r="H9" s="17" t="s">
        <v>18</v>
      </c>
    </row>
    <row r="12" spans="1:8" ht="19.5" customHeight="1" x14ac:dyDescent="0.25">
      <c r="A12" s="8" t="s">
        <v>19</v>
      </c>
      <c r="B12" s="8"/>
      <c r="C12" s="8"/>
      <c r="D12" s="8"/>
      <c r="E12" s="8"/>
      <c r="F12" s="8"/>
      <c r="G12" s="8"/>
      <c r="H12" s="8"/>
    </row>
    <row r="13" spans="1:8" ht="15" customHeight="1" x14ac:dyDescent="0.25">
      <c r="A13" s="24" t="s">
        <v>20</v>
      </c>
      <c r="B13" s="25">
        <v>0.12</v>
      </c>
      <c r="C13" s="7" t="s">
        <v>21</v>
      </c>
      <c r="D13" s="7"/>
      <c r="E13" s="7"/>
      <c r="F13" s="7"/>
      <c r="G13" s="7"/>
      <c r="H13" s="7"/>
    </row>
    <row r="14" spans="1:8" ht="15" customHeight="1" x14ac:dyDescent="0.25">
      <c r="A14" s="24" t="s">
        <v>22</v>
      </c>
      <c r="B14" s="25">
        <v>0.03</v>
      </c>
      <c r="C14" s="7" t="s">
        <v>23</v>
      </c>
      <c r="D14" s="7"/>
      <c r="E14" s="7"/>
      <c r="F14" s="7"/>
      <c r="G14" s="7"/>
      <c r="H14" s="7"/>
    </row>
    <row r="15" spans="1:8" ht="15" customHeight="1" x14ac:dyDescent="0.25">
      <c r="A15" s="24" t="s">
        <v>24</v>
      </c>
      <c r="B15" s="25">
        <v>0.18</v>
      </c>
      <c r="C15" s="7" t="s">
        <v>25</v>
      </c>
      <c r="D15" s="7"/>
      <c r="E15" s="7"/>
      <c r="F15" s="7"/>
      <c r="G15" s="7"/>
      <c r="H15" s="7"/>
    </row>
    <row r="16" spans="1:8" ht="15" customHeight="1" x14ac:dyDescent="0.25">
      <c r="A16" s="24" t="s">
        <v>26</v>
      </c>
      <c r="B16" s="25">
        <v>0.98599999999999999</v>
      </c>
      <c r="C16" s="7" t="s">
        <v>27</v>
      </c>
      <c r="D16" s="7"/>
      <c r="E16" s="7"/>
      <c r="F16" s="7"/>
      <c r="G16" s="7"/>
      <c r="H16" s="7"/>
    </row>
    <row r="17" spans="1:8" ht="15" customHeight="1" x14ac:dyDescent="0.25">
      <c r="A17" s="24" t="s">
        <v>28</v>
      </c>
      <c r="B17" s="25">
        <v>1.4E-2</v>
      </c>
      <c r="C17" s="7" t="s">
        <v>29</v>
      </c>
      <c r="D17" s="7"/>
      <c r="E17" s="7"/>
      <c r="F17" s="7"/>
      <c r="G17" s="7"/>
      <c r="H17" s="7"/>
    </row>
    <row r="18" spans="1:8" ht="15" customHeight="1" x14ac:dyDescent="0.25">
      <c r="A18" s="24" t="s">
        <v>30</v>
      </c>
      <c r="B18" s="26">
        <f>B16*B13+B17*B14*(1-B15)</f>
        <v>0.11866439999999999</v>
      </c>
      <c r="C18" s="6" t="s">
        <v>31</v>
      </c>
      <c r="D18" s="6"/>
      <c r="E18" s="6"/>
      <c r="F18" s="6"/>
      <c r="G18" s="6"/>
      <c r="H18" s="6"/>
    </row>
    <row r="21" spans="1:8" ht="19.5" customHeight="1" x14ac:dyDescent="0.25">
      <c r="A21" s="8" t="s">
        <v>32</v>
      </c>
      <c r="B21" s="8"/>
      <c r="C21" s="8"/>
      <c r="D21" s="8"/>
      <c r="E21" s="8"/>
      <c r="F21" s="8"/>
      <c r="G21" s="8"/>
      <c r="H21" s="8"/>
    </row>
    <row r="22" spans="1:8" ht="15" customHeight="1" x14ac:dyDescent="0.25">
      <c r="A22" s="11" t="s">
        <v>2</v>
      </c>
      <c r="B22" s="12" t="s">
        <v>33</v>
      </c>
      <c r="C22" s="12" t="s">
        <v>34</v>
      </c>
      <c r="D22" s="12" t="s">
        <v>35</v>
      </c>
      <c r="E22" s="12" t="s">
        <v>36</v>
      </c>
      <c r="F22" s="12" t="s">
        <v>37</v>
      </c>
      <c r="G22" s="12" t="s">
        <v>38</v>
      </c>
      <c r="H22" s="11" t="s">
        <v>8</v>
      </c>
    </row>
    <row r="23" spans="1:8" ht="15" customHeight="1" x14ac:dyDescent="0.25">
      <c r="A23" s="13" t="s">
        <v>39</v>
      </c>
      <c r="B23" s="27"/>
      <c r="C23" s="28">
        <v>0.28000000000000003</v>
      </c>
      <c r="D23" s="28">
        <v>0.25</v>
      </c>
      <c r="E23" s="28">
        <v>0.22</v>
      </c>
      <c r="F23" s="28">
        <v>0.19</v>
      </c>
      <c r="G23" s="28">
        <v>0.16</v>
      </c>
      <c r="H23" s="17" t="s">
        <v>40</v>
      </c>
    </row>
    <row r="24" spans="1:8" ht="15" customHeight="1" x14ac:dyDescent="0.25">
      <c r="A24" s="18" t="s">
        <v>9</v>
      </c>
      <c r="B24" s="29">
        <v>11556</v>
      </c>
      <c r="C24" s="30">
        <f>B24*(1+C23)</f>
        <v>14791.68</v>
      </c>
      <c r="D24" s="30">
        <f>C24*(1+D23)</f>
        <v>18489.599999999999</v>
      </c>
      <c r="E24" s="30">
        <f>D24*(1+E23)</f>
        <v>22557.311999999998</v>
      </c>
      <c r="F24" s="30">
        <f>E24*(1+F23)</f>
        <v>26843.201279999997</v>
      </c>
      <c r="G24" s="30">
        <f>F24*(1+G23)</f>
        <v>31138.113484799997</v>
      </c>
      <c r="H24" s="17" t="s">
        <v>41</v>
      </c>
    </row>
    <row r="25" spans="1:8" ht="21.75" customHeight="1" x14ac:dyDescent="0.25">
      <c r="A25" s="13" t="s">
        <v>17</v>
      </c>
      <c r="B25" s="27"/>
      <c r="C25" s="28">
        <v>0.18</v>
      </c>
      <c r="D25" s="28">
        <v>0.19</v>
      </c>
      <c r="E25" s="28">
        <v>0.2</v>
      </c>
      <c r="F25" s="28">
        <v>0.21</v>
      </c>
      <c r="G25" s="28">
        <v>0.22</v>
      </c>
      <c r="H25" s="17" t="s">
        <v>42</v>
      </c>
    </row>
    <row r="26" spans="1:8" ht="15" customHeight="1" x14ac:dyDescent="0.25">
      <c r="A26" s="22" t="s">
        <v>15</v>
      </c>
      <c r="B26" s="29">
        <v>2007</v>
      </c>
      <c r="C26" s="31">
        <f>C24*C25</f>
        <v>2662.5023999999999</v>
      </c>
      <c r="D26" s="31">
        <f>D24*D25</f>
        <v>3513.0239999999999</v>
      </c>
      <c r="E26" s="31">
        <f>E24*E25</f>
        <v>4511.4623999999994</v>
      </c>
      <c r="F26" s="31">
        <f>F24*F25</f>
        <v>5637.0722687999996</v>
      </c>
      <c r="G26" s="31">
        <f>G24*G25</f>
        <v>6850.3849666559991</v>
      </c>
      <c r="H26" s="17" t="s">
        <v>43</v>
      </c>
    </row>
    <row r="27" spans="1:8" ht="15" customHeight="1" x14ac:dyDescent="0.25">
      <c r="A27" s="13" t="s">
        <v>44</v>
      </c>
      <c r="B27" s="27"/>
      <c r="C27" s="32" t="s">
        <v>45</v>
      </c>
      <c r="D27" s="33">
        <f>1/(1+$B$18)^2</f>
        <v>0.79909859132819216</v>
      </c>
      <c r="E27" s="33">
        <f>1/(1+$B$18)^3</f>
        <v>0.71433272689127514</v>
      </c>
      <c r="F27" s="33">
        <f>1/(1+$B$18)^4</f>
        <v>0.63855855866270106</v>
      </c>
      <c r="G27" s="33">
        <f>1/(1+$B$18)^5</f>
        <v>0.57082227579844425</v>
      </c>
      <c r="H27" s="34" t="s">
        <v>40</v>
      </c>
    </row>
    <row r="28" spans="1:8" ht="15" customHeight="1" x14ac:dyDescent="0.25">
      <c r="A28" s="22" t="s">
        <v>46</v>
      </c>
      <c r="B28" s="35"/>
      <c r="C28" s="36" t="s">
        <v>47</v>
      </c>
      <c r="D28" s="31">
        <f>D26*D27</f>
        <v>2807.2525297021307</v>
      </c>
      <c r="E28" s="31">
        <f>E26*E27</f>
        <v>3222.6852384594563</v>
      </c>
      <c r="F28" s="31">
        <f>F26*F27</f>
        <v>3599.6007430424097</v>
      </c>
      <c r="G28" s="31">
        <f>G26*G27</f>
        <v>3910.3523367620269</v>
      </c>
      <c r="H28" s="34" t="s">
        <v>48</v>
      </c>
    </row>
    <row r="31" spans="1:8" ht="19.5" customHeight="1" x14ac:dyDescent="0.25">
      <c r="A31" s="8" t="s">
        <v>49</v>
      </c>
      <c r="B31" s="8"/>
      <c r="C31" s="8"/>
      <c r="D31" s="8"/>
      <c r="E31" s="8"/>
      <c r="F31" s="8"/>
      <c r="G31" s="8"/>
      <c r="H31" s="8"/>
    </row>
    <row r="32" spans="1:8" ht="15" customHeight="1" x14ac:dyDescent="0.25">
      <c r="A32" s="37" t="s">
        <v>50</v>
      </c>
      <c r="B32" s="25">
        <v>0.04</v>
      </c>
      <c r="C32" s="5" t="s">
        <v>51</v>
      </c>
      <c r="D32" s="5"/>
      <c r="E32" s="5"/>
      <c r="F32" s="5"/>
      <c r="G32" s="5"/>
      <c r="H32" s="5"/>
    </row>
    <row r="33" spans="1:8" ht="15" customHeight="1" x14ac:dyDescent="0.25">
      <c r="A33" s="37" t="s">
        <v>52</v>
      </c>
      <c r="B33" s="30">
        <f>G26</f>
        <v>6850.3849666559991</v>
      </c>
      <c r="C33" s="5" t="s">
        <v>53</v>
      </c>
      <c r="D33" s="5"/>
      <c r="E33" s="5"/>
      <c r="F33" s="5"/>
      <c r="G33" s="5"/>
      <c r="H33" s="5"/>
    </row>
    <row r="34" spans="1:8" ht="15" customHeight="1" x14ac:dyDescent="0.25">
      <c r="A34" s="37" t="s">
        <v>54</v>
      </c>
      <c r="B34" s="30">
        <f>B33*(1+B32)/(B18-B32)</f>
        <v>90567.020981819471</v>
      </c>
      <c r="C34" s="4" t="s">
        <v>55</v>
      </c>
      <c r="D34" s="4"/>
      <c r="E34" s="4"/>
      <c r="F34" s="4"/>
      <c r="G34" s="4"/>
      <c r="H34" s="4"/>
    </row>
    <row r="35" spans="1:8" ht="15" customHeight="1" x14ac:dyDescent="0.25">
      <c r="A35" s="37" t="s">
        <v>56</v>
      </c>
      <c r="B35" s="30">
        <f>B34/(1+B18)^5</f>
        <v>51697.67302912764</v>
      </c>
      <c r="C35" s="5" t="s">
        <v>55</v>
      </c>
      <c r="D35" s="5"/>
      <c r="E35" s="5"/>
      <c r="F35" s="5"/>
      <c r="G35" s="5"/>
      <c r="H35" s="5"/>
    </row>
    <row r="36" spans="1:8" ht="15" customHeight="1" x14ac:dyDescent="0.25">
      <c r="A36" s="37" t="s">
        <v>57</v>
      </c>
      <c r="B36" s="30">
        <f>SUM(C28:G28)</f>
        <v>13539.890847966024</v>
      </c>
      <c r="C36" s="5" t="s">
        <v>58</v>
      </c>
      <c r="D36" s="5"/>
      <c r="E36" s="5"/>
      <c r="F36" s="5"/>
      <c r="G36" s="5"/>
      <c r="H36" s="5"/>
    </row>
    <row r="37" spans="1:8" ht="15" customHeight="1" x14ac:dyDescent="0.25">
      <c r="A37" s="37" t="s">
        <v>59</v>
      </c>
      <c r="B37" s="30">
        <f>B35+B36</f>
        <v>65237.563877093664</v>
      </c>
      <c r="C37" s="4" t="s">
        <v>60</v>
      </c>
      <c r="D37" s="4"/>
      <c r="E37" s="4"/>
      <c r="F37" s="4"/>
      <c r="G37" s="4"/>
      <c r="H37" s="4"/>
    </row>
    <row r="38" spans="1:8" ht="15" customHeight="1" x14ac:dyDescent="0.25">
      <c r="A38" s="37" t="s">
        <v>61</v>
      </c>
      <c r="B38" s="29">
        <v>188</v>
      </c>
      <c r="C38" s="5" t="s">
        <v>62</v>
      </c>
      <c r="D38" s="5"/>
      <c r="E38" s="5"/>
      <c r="F38" s="5"/>
      <c r="G38" s="5"/>
      <c r="H38" s="5"/>
    </row>
    <row r="39" spans="1:8" ht="15" customHeight="1" x14ac:dyDescent="0.25">
      <c r="A39" s="37" t="s">
        <v>63</v>
      </c>
      <c r="B39" s="30">
        <f>B37-B38</f>
        <v>65049.563877093664</v>
      </c>
      <c r="C39" s="4" t="s">
        <v>64</v>
      </c>
      <c r="D39" s="4"/>
      <c r="E39" s="4"/>
      <c r="F39" s="4"/>
      <c r="G39" s="4"/>
      <c r="H39" s="4"/>
    </row>
    <row r="40" spans="1:8" ht="15" customHeight="1" x14ac:dyDescent="0.25">
      <c r="A40" s="37" t="s">
        <v>65</v>
      </c>
      <c r="B40" s="29">
        <v>1304</v>
      </c>
      <c r="C40" s="5" t="s">
        <v>66</v>
      </c>
      <c r="D40" s="5"/>
      <c r="E40" s="5"/>
      <c r="F40" s="5"/>
      <c r="G40" s="5"/>
      <c r="H40" s="5"/>
    </row>
    <row r="41" spans="1:8" ht="15.75" customHeight="1" x14ac:dyDescent="0.25">
      <c r="A41" s="38" t="s">
        <v>67</v>
      </c>
      <c r="B41" s="39">
        <f>B39/B40</f>
        <v>49.884634875071825</v>
      </c>
      <c r="C41" s="3" t="s">
        <v>68</v>
      </c>
      <c r="D41" s="3"/>
      <c r="E41" s="3"/>
      <c r="F41" s="3"/>
      <c r="G41" s="3"/>
      <c r="H41" s="3"/>
    </row>
    <row r="42" spans="1:8" ht="15" customHeight="1" x14ac:dyDescent="0.25">
      <c r="A42" s="37" t="s">
        <v>69</v>
      </c>
      <c r="B42" s="40">
        <v>114.84</v>
      </c>
      <c r="C42" s="5" t="s">
        <v>70</v>
      </c>
      <c r="D42" s="5"/>
      <c r="E42" s="5"/>
      <c r="F42" s="5"/>
      <c r="G42" s="5"/>
      <c r="H42" s="5"/>
    </row>
    <row r="43" spans="1:8" ht="15" customHeight="1" x14ac:dyDescent="0.25">
      <c r="A43" s="37" t="s">
        <v>71</v>
      </c>
      <c r="B43" s="20">
        <f>B41/B42-1</f>
        <v>-0.56561620624284381</v>
      </c>
      <c r="C43" s="4" t="s">
        <v>72</v>
      </c>
      <c r="D43" s="4"/>
      <c r="E43" s="4"/>
      <c r="F43" s="4"/>
      <c r="G43" s="4"/>
      <c r="H43" s="4"/>
    </row>
    <row r="45" spans="1:8" ht="19.5" customHeight="1" x14ac:dyDescent="0.25">
      <c r="A45" s="8" t="s">
        <v>73</v>
      </c>
      <c r="B45" s="8"/>
      <c r="C45" s="8"/>
      <c r="D45" s="8"/>
      <c r="E45" s="8"/>
      <c r="F45" s="8"/>
      <c r="G45" s="8"/>
      <c r="H45" s="8"/>
    </row>
    <row r="46" spans="1:8" ht="120" customHeight="1" x14ac:dyDescent="0.25">
      <c r="A46" s="2" t="s">
        <v>74</v>
      </c>
      <c r="B46" s="2"/>
      <c r="C46" s="2"/>
      <c r="D46" s="2"/>
      <c r="E46" s="2"/>
      <c r="F46" s="2"/>
      <c r="G46" s="2"/>
      <c r="H46" s="2"/>
    </row>
    <row r="47" spans="1:8" ht="15" customHeight="1" x14ac:dyDescent="0.25">
      <c r="A47" s="2"/>
      <c r="B47" s="2"/>
      <c r="C47" s="2"/>
      <c r="D47" s="2"/>
      <c r="E47" s="2"/>
      <c r="F47" s="2"/>
      <c r="G47" s="2"/>
      <c r="H47" s="2"/>
    </row>
    <row r="48" spans="1:8" ht="15" customHeight="1" x14ac:dyDescent="0.25">
      <c r="A48" s="2"/>
      <c r="B48" s="2"/>
      <c r="C48" s="2"/>
      <c r="D48" s="2"/>
      <c r="E48" s="2"/>
      <c r="F48" s="2"/>
      <c r="G48" s="2"/>
      <c r="H48" s="2"/>
    </row>
    <row r="49" spans="1:8" ht="15" customHeight="1" x14ac:dyDescent="0.25">
      <c r="A49" s="2"/>
      <c r="B49" s="2"/>
      <c r="C49" s="2"/>
      <c r="D49" s="2"/>
      <c r="E49" s="2"/>
      <c r="F49" s="2"/>
      <c r="G49" s="2"/>
      <c r="H49" s="2"/>
    </row>
    <row r="50" spans="1:8" ht="15" customHeight="1" x14ac:dyDescent="0.25">
      <c r="A50" s="2"/>
      <c r="B50" s="2"/>
      <c r="C50" s="2"/>
      <c r="D50" s="2"/>
      <c r="E50" s="2"/>
      <c r="F50" s="2"/>
      <c r="G50" s="2"/>
      <c r="H50" s="2"/>
    </row>
  </sheetData>
  <mergeCells count="25">
    <mergeCell ref="C41:H41"/>
    <mergeCell ref="C42:H42"/>
    <mergeCell ref="C43:H43"/>
    <mergeCell ref="A45:H45"/>
    <mergeCell ref="A46:H50"/>
    <mergeCell ref="C36:H36"/>
    <mergeCell ref="C37:H37"/>
    <mergeCell ref="C38:H38"/>
    <mergeCell ref="C39:H39"/>
    <mergeCell ref="C40:H40"/>
    <mergeCell ref="A31:H31"/>
    <mergeCell ref="C32:H32"/>
    <mergeCell ref="C33:H33"/>
    <mergeCell ref="C34:H34"/>
    <mergeCell ref="C35:H35"/>
    <mergeCell ref="C15:H15"/>
    <mergeCell ref="C16:H16"/>
    <mergeCell ref="C17:H17"/>
    <mergeCell ref="C18:H18"/>
    <mergeCell ref="A21:H21"/>
    <mergeCell ref="A1:H1"/>
    <mergeCell ref="A3:H3"/>
    <mergeCell ref="A12:H12"/>
    <mergeCell ref="C13:H13"/>
    <mergeCell ref="C14:H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5"/>
  <sheetViews>
    <sheetView zoomScaleNormal="100" workbookViewId="0">
      <selection activeCell="H10" sqref="H10"/>
    </sheetView>
  </sheetViews>
  <sheetFormatPr defaultColWidth="8.7109375" defaultRowHeight="15" x14ac:dyDescent="0.25"/>
  <cols>
    <col min="1" max="1" width="35" customWidth="1"/>
    <col min="2" max="2" width="18" customWidth="1"/>
    <col min="3" max="3" width="40" customWidth="1"/>
  </cols>
  <sheetData>
    <row r="1" spans="1:3" ht="24" customHeight="1" x14ac:dyDescent="0.25">
      <c r="A1" s="1" t="s">
        <v>75</v>
      </c>
      <c r="B1" s="1"/>
      <c r="C1" s="1"/>
    </row>
    <row r="2" spans="1:3" ht="15" customHeight="1" x14ac:dyDescent="0.25">
      <c r="A2" s="41" t="s">
        <v>76</v>
      </c>
      <c r="B2" s="42"/>
      <c r="C2" s="43"/>
    </row>
    <row r="3" spans="1:3" ht="15" customHeight="1" x14ac:dyDescent="0.25">
      <c r="A3" s="18" t="s">
        <v>77</v>
      </c>
      <c r="B3" s="44">
        <f>(-276)+(-98)</f>
        <v>-374</v>
      </c>
      <c r="C3" s="45" t="s">
        <v>78</v>
      </c>
    </row>
    <row r="4" spans="1:3" ht="15" customHeight="1" x14ac:dyDescent="0.25">
      <c r="A4" s="13" t="s">
        <v>79</v>
      </c>
      <c r="B4" s="46">
        <f>944+(-39)</f>
        <v>905</v>
      </c>
      <c r="C4" s="47" t="s">
        <v>80</v>
      </c>
    </row>
    <row r="5" spans="1:3" ht="15" customHeight="1" x14ac:dyDescent="0.25">
      <c r="A5" s="18" t="s">
        <v>81</v>
      </c>
      <c r="B5" s="44">
        <f>1616+(-19)</f>
        <v>1597</v>
      </c>
      <c r="C5" s="45" t="s">
        <v>82</v>
      </c>
    </row>
    <row r="6" spans="1:3" ht="15" customHeight="1" x14ac:dyDescent="0.25">
      <c r="A6" s="13" t="s">
        <v>83</v>
      </c>
      <c r="B6" s="46">
        <f>2033+(-26)</f>
        <v>2007</v>
      </c>
      <c r="C6" s="47" t="s">
        <v>84</v>
      </c>
    </row>
    <row r="7" spans="1:3" ht="15" customHeight="1" x14ac:dyDescent="0.25">
      <c r="A7" s="18"/>
      <c r="B7" s="44"/>
      <c r="C7" s="45"/>
    </row>
    <row r="8" spans="1:3" ht="15" customHeight="1" x14ac:dyDescent="0.25">
      <c r="A8" s="41" t="s">
        <v>85</v>
      </c>
      <c r="B8" s="42"/>
      <c r="C8" s="43"/>
    </row>
    <row r="9" spans="1:3" ht="15" customHeight="1" x14ac:dyDescent="0.25">
      <c r="A9" s="18" t="s">
        <v>86</v>
      </c>
      <c r="B9" s="44">
        <f>-374/5600</f>
        <v>-6.6785714285714282E-2</v>
      </c>
      <c r="C9" s="48">
        <f>-6.7%</f>
        <v>-6.7000000000000004E-2</v>
      </c>
    </row>
    <row r="10" spans="1:3" ht="15" customHeight="1" x14ac:dyDescent="0.25">
      <c r="A10" s="13" t="s">
        <v>87</v>
      </c>
      <c r="B10" s="46">
        <f>905/7060</f>
        <v>0.1281869688385269</v>
      </c>
      <c r="C10" s="49">
        <f>12.8%</f>
        <v>0.128</v>
      </c>
    </row>
    <row r="11" spans="1:3" ht="15" customHeight="1" x14ac:dyDescent="0.25">
      <c r="A11" s="18" t="s">
        <v>88</v>
      </c>
      <c r="B11" s="44">
        <f>1597/8880</f>
        <v>0.17984234234234234</v>
      </c>
      <c r="C11" s="48">
        <f>18%</f>
        <v>0.18</v>
      </c>
    </row>
    <row r="12" spans="1:3" ht="15" customHeight="1" x14ac:dyDescent="0.25">
      <c r="A12" s="13" t="s">
        <v>89</v>
      </c>
      <c r="B12" s="46">
        <f>2007/11556</f>
        <v>0.17367601246105918</v>
      </c>
      <c r="C12" s="49">
        <f>17.4%</f>
        <v>0.17399999999999999</v>
      </c>
    </row>
    <row r="13" spans="1:3" ht="15" customHeight="1" x14ac:dyDescent="0.25">
      <c r="A13" s="18"/>
      <c r="B13" s="44"/>
      <c r="C13" s="45"/>
    </row>
    <row r="14" spans="1:3" ht="15" customHeight="1" x14ac:dyDescent="0.25">
      <c r="A14" s="41" t="s">
        <v>19</v>
      </c>
      <c r="B14" s="42"/>
      <c r="C14" s="43"/>
    </row>
    <row r="15" spans="1:3" ht="15" customHeight="1" x14ac:dyDescent="0.25">
      <c r="A15" s="18" t="s">
        <v>20</v>
      </c>
      <c r="B15" s="50">
        <f>12%</f>
        <v>0.12</v>
      </c>
      <c r="C15" s="45" t="s">
        <v>90</v>
      </c>
    </row>
    <row r="16" spans="1:3" ht="15" customHeight="1" x14ac:dyDescent="0.25">
      <c r="A16" s="13" t="s">
        <v>22</v>
      </c>
      <c r="B16" s="51">
        <f>3%</f>
        <v>0.03</v>
      </c>
      <c r="C16" s="47" t="s">
        <v>91</v>
      </c>
    </row>
    <row r="17" spans="1:3" ht="15" customHeight="1" x14ac:dyDescent="0.25">
      <c r="A17" s="18" t="s">
        <v>24</v>
      </c>
      <c r="B17" s="50">
        <f>18%</f>
        <v>0.18</v>
      </c>
      <c r="C17" s="45" t="s">
        <v>92</v>
      </c>
    </row>
    <row r="18" spans="1:3" ht="15" customHeight="1" x14ac:dyDescent="0.25">
      <c r="A18" s="13" t="s">
        <v>26</v>
      </c>
      <c r="B18" s="51">
        <f>98.6%</f>
        <v>0.98599999999999999</v>
      </c>
      <c r="C18" s="47" t="s">
        <v>93</v>
      </c>
    </row>
    <row r="19" spans="1:3" ht="15" customHeight="1" x14ac:dyDescent="0.25">
      <c r="A19" s="18" t="s">
        <v>28</v>
      </c>
      <c r="B19" s="50">
        <f>1.4%</f>
        <v>1.3999999999999999E-2</v>
      </c>
      <c r="C19" s="45" t="s">
        <v>94</v>
      </c>
    </row>
    <row r="20" spans="1:3" ht="15" customHeight="1" x14ac:dyDescent="0.25">
      <c r="A20" s="13" t="s">
        <v>30</v>
      </c>
      <c r="B20" s="46">
        <f>98.6%*12%+1.4%*3%*(1-18%)</f>
        <v>0.11866439999999999</v>
      </c>
      <c r="C20" s="47" t="s">
        <v>53</v>
      </c>
    </row>
    <row r="21" spans="1:3" ht="15" customHeight="1" x14ac:dyDescent="0.25">
      <c r="A21" s="18"/>
      <c r="B21" s="44"/>
      <c r="C21" s="45"/>
    </row>
    <row r="22" spans="1:3" ht="15" customHeight="1" x14ac:dyDescent="0.25">
      <c r="A22" s="41" t="s">
        <v>95</v>
      </c>
      <c r="B22" s="42"/>
      <c r="C22" s="43"/>
    </row>
    <row r="23" spans="1:3" ht="15" customHeight="1" x14ac:dyDescent="0.25">
      <c r="A23" s="18" t="s">
        <v>96</v>
      </c>
      <c r="B23" s="44">
        <f>6850</f>
        <v>6850</v>
      </c>
      <c r="C23" s="45" t="s">
        <v>97</v>
      </c>
    </row>
    <row r="24" spans="1:3" ht="15" customHeight="1" x14ac:dyDescent="0.25">
      <c r="A24" s="13" t="s">
        <v>98</v>
      </c>
      <c r="B24" s="46">
        <f>6850*(1+4%)/(11.87%-4%)</f>
        <v>90520.965692503189</v>
      </c>
      <c r="C24" s="47" t="s">
        <v>99</v>
      </c>
    </row>
    <row r="25" spans="1:3" ht="15" customHeight="1" x14ac:dyDescent="0.25">
      <c r="A25" s="18" t="s">
        <v>100</v>
      </c>
      <c r="B25" s="44">
        <f>90562/(1+11.87%)^5</f>
        <v>51686.582135271223</v>
      </c>
      <c r="C25" s="45" t="s">
        <v>101</v>
      </c>
    </row>
    <row r="26" spans="1:3" ht="15" customHeight="1" x14ac:dyDescent="0.25">
      <c r="A26" s="13"/>
      <c r="B26" s="46"/>
      <c r="C26" s="47"/>
    </row>
    <row r="27" spans="1:3" ht="15" customHeight="1" x14ac:dyDescent="0.25">
      <c r="A27" s="41" t="s">
        <v>102</v>
      </c>
      <c r="B27" s="42"/>
      <c r="C27" s="43"/>
    </row>
    <row r="28" spans="1:3" ht="15" customHeight="1" x14ac:dyDescent="0.25">
      <c r="A28" s="13" t="s">
        <v>103</v>
      </c>
      <c r="B28" s="46">
        <f>2380+2807+3223+3600+3910</f>
        <v>15920</v>
      </c>
      <c r="C28" s="47" t="s">
        <v>104</v>
      </c>
    </row>
    <row r="29" spans="1:3" ht="15" customHeight="1" x14ac:dyDescent="0.25">
      <c r="A29" s="18" t="s">
        <v>105</v>
      </c>
      <c r="B29" s="44">
        <f>15920+51695</f>
        <v>67615</v>
      </c>
      <c r="C29" s="45" t="s">
        <v>106</v>
      </c>
    </row>
    <row r="30" spans="1:3" ht="15" customHeight="1" x14ac:dyDescent="0.25">
      <c r="A30" s="13" t="s">
        <v>107</v>
      </c>
      <c r="B30" s="46">
        <f>188</f>
        <v>188</v>
      </c>
      <c r="C30" s="47" t="s">
        <v>108</v>
      </c>
    </row>
    <row r="31" spans="1:3" ht="15" customHeight="1" x14ac:dyDescent="0.25">
      <c r="A31" s="18" t="s">
        <v>109</v>
      </c>
      <c r="B31" s="44">
        <f>67615-188</f>
        <v>67427</v>
      </c>
      <c r="C31" s="45" t="s">
        <v>110</v>
      </c>
    </row>
    <row r="32" spans="1:3" ht="15" customHeight="1" x14ac:dyDescent="0.25">
      <c r="A32" s="13" t="s">
        <v>111</v>
      </c>
      <c r="B32" s="46">
        <f>1304</f>
        <v>1304</v>
      </c>
      <c r="C32" s="47" t="s">
        <v>112</v>
      </c>
    </row>
    <row r="33" spans="1:3" ht="15" customHeight="1" x14ac:dyDescent="0.25">
      <c r="A33" s="18" t="s">
        <v>113</v>
      </c>
      <c r="B33" s="44">
        <f>67427/1304</f>
        <v>51.707822085889568</v>
      </c>
      <c r="C33" s="45" t="s">
        <v>114</v>
      </c>
    </row>
    <row r="34" spans="1:3" ht="15" customHeight="1" x14ac:dyDescent="0.25">
      <c r="A34" s="13" t="s">
        <v>115</v>
      </c>
      <c r="B34" s="46">
        <f>114.84</f>
        <v>114.84</v>
      </c>
      <c r="C34" s="47" t="s">
        <v>116</v>
      </c>
    </row>
    <row r="35" spans="1:3" ht="15" customHeight="1" x14ac:dyDescent="0.25">
      <c r="A35" s="18" t="s">
        <v>117</v>
      </c>
      <c r="B35" s="44">
        <f>51.71/114.84-1</f>
        <v>-0.54972135144548939</v>
      </c>
      <c r="C35" s="45" t="s">
        <v>118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FCF &amp; WACC</vt:lpstr>
      <vt:lpstr>Verification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Jobit James</cp:lastModifiedBy>
  <cp:revision>0</cp:revision>
  <dcterms:created xsi:type="dcterms:W3CDTF">2026-04-14T14:53:42Z</dcterms:created>
  <dcterms:modified xsi:type="dcterms:W3CDTF">2026-04-14T17:13:29Z</dcterms:modified>
  <dc:language>en-US</dc:language>
</cp:coreProperties>
</file>